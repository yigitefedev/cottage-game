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<sst xmlns="http://schemas.openxmlformats.org/spreadsheetml/2006/main" count="148" uniqueCount="72">
  <si>
    <t>display_name</t>
  </si>
  <si>
    <t>id</t>
  </si>
  <si>
    <t>type</t>
  </si>
  <si>
    <t>growth_days</t>
  </si>
  <si>
    <t>stage_durations</t>
  </si>
  <si>
    <t>yield_min</t>
  </si>
  <si>
    <t>yield_max</t>
  </si>
  <si>
    <t>regrow_after_harvest</t>
  </si>
  <si>
    <t>regrow_stage_index</t>
  </si>
  <si>
    <t>season</t>
  </si>
  <si>
    <t>seed_buy_price</t>
  </si>
  <si>
    <t>seed_sell_price</t>
  </si>
  <si>
    <t>harvest_buy_price</t>
  </si>
  <si>
    <t>harvest_sell_price</t>
  </si>
  <si>
    <t>ROI</t>
  </si>
  <si>
    <t>max_stack</t>
  </si>
  <si>
    <t>seed_max_stack</t>
  </si>
  <si>
    <t>Beetroot</t>
  </si>
  <si>
    <t>crop</t>
  </si>
  <si>
    <t>fall</t>
  </si>
  <si>
    <t>Blackberry</t>
  </si>
  <si>
    <t>summer</t>
  </si>
  <si>
    <t>Blueberry</t>
  </si>
  <si>
    <t>Broccoli</t>
  </si>
  <si>
    <t>Cabbage</t>
  </si>
  <si>
    <t>spring</t>
  </si>
  <si>
    <t>Carrot</t>
  </si>
  <si>
    <t>1,2,1,0</t>
  </si>
  <si>
    <t>Cauliflower</t>
  </si>
  <si>
    <t>3,4,3,0</t>
  </si>
  <si>
    <t>Corn</t>
  </si>
  <si>
    <t>spring, fall, summer</t>
  </si>
  <si>
    <t>Melon</t>
  </si>
  <si>
    <t>Oat</t>
  </si>
  <si>
    <t>Onion</t>
  </si>
  <si>
    <t>Potato</t>
  </si>
  <si>
    <t>Pumpkin</t>
  </si>
  <si>
    <t>Raspberry</t>
  </si>
  <si>
    <t>Rice</t>
  </si>
  <si>
    <t>Strawberry</t>
  </si>
  <si>
    <t>Sunflower</t>
  </si>
  <si>
    <t>Wheat</t>
  </si>
  <si>
    <t>Cucumber</t>
  </si>
  <si>
    <t>crop_trellis</t>
  </si>
  <si>
    <t>Grape</t>
  </si>
  <si>
    <t>Green Bean</t>
  </si>
  <si>
    <t>Tomato</t>
  </si>
  <si>
    <t>Basil</t>
  </si>
  <si>
    <t>garden_bed</t>
  </si>
  <si>
    <t>Chamomile</t>
  </si>
  <si>
    <t>Chili Pepper</t>
  </si>
  <si>
    <t>Coffee</t>
  </si>
  <si>
    <t>spring, fall, summer, winter</t>
  </si>
  <si>
    <t>Garlic</t>
  </si>
  <si>
    <t>Ginger</t>
  </si>
  <si>
    <t>Lavender</t>
  </si>
  <si>
    <t>Mint</t>
  </si>
  <si>
    <t>Rosemary</t>
  </si>
  <si>
    <t>Sage</t>
  </si>
  <si>
    <t>Apple</t>
  </si>
  <si>
    <t>tree_fruit</t>
  </si>
  <si>
    <t>Cocoa</t>
  </si>
  <si>
    <t>Lemon</t>
  </si>
  <si>
    <t>Olive</t>
  </si>
  <si>
    <t>Orange</t>
  </si>
  <si>
    <t>Peach</t>
  </si>
  <si>
    <t>Birch</t>
  </si>
  <si>
    <t>tree_tapping</t>
  </si>
  <si>
    <t>Cherry</t>
  </si>
  <si>
    <t>Maple</t>
  </si>
  <si>
    <t>Oak</t>
  </si>
  <si>
    <t>Pine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</si>
</sst>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/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49" xfId="0" applyAlignment="1" applyBorder="1" applyFont="1" applyNumberForma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Border="1" applyFont="1"/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2" fontId="2" numFmtId="0" xfId="0" applyAlignment="1" applyBorder="1" applyFill="1" applyFont="1">
      <alignment horizontal="right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Border="1" applyFont="1"/>
    <xf borderId="3" fillId="3" fontId="2" numFmtId="0" xfId="0" applyAlignment="1" applyBorder="1" applyFill="1" applyFont="1">
      <alignment horizontal="right" shrinkToFit="0" vertical="center" wrapText="0"/>
    </xf>
    <xf borderId="3" fillId="2" fontId="2" numFmtId="0" xfId="0" applyAlignment="1" applyBorder="1" applyFont="1">
      <alignment horizontal="right" readingOrder="0" shrinkToFit="0" vertical="center" wrapText="0"/>
    </xf>
    <xf borderId="3" fillId="0" fontId="1" numFmtId="0" xfId="0" applyBorder="1" applyFont="1"/>
    <xf borderId="5" fillId="0" fontId="1" numFmtId="0" xfId="0" applyBorder="1" applyFont="1"/>
    <xf borderId="6" fillId="0" fontId="1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yf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44" displayName="Tablo1" name="Tablo1" id="1">
  <tableColumns count="17">
    <tableColumn name="display_name" id="1"/>
    <tableColumn name="id" id="2"/>
    <tableColumn name="type" id="3"/>
    <tableColumn name="growth_days" id="4"/>
    <tableColumn name="stage_durations" id="5"/>
    <tableColumn name="yield_min" id="6"/>
    <tableColumn name="yield_max" id="7"/>
    <tableColumn name="regrow_after_harvest" id="8"/>
    <tableColumn name="regrow_stage_index" id="9"/>
    <tableColumn name="season" id="10"/>
    <tableColumn name="seed_buy_price" id="11"/>
    <tableColumn name="seed_sell_price" id="12"/>
    <tableColumn name="harvest_buy_price" id="13"/>
    <tableColumn name="harvest_sell_price" id="14"/>
    <tableColumn name="ROI" id="15"/>
    <tableColumn name="max_stack" id="16"/>
    <tableColumn name="seed_max_stack" id="17"/>
  </tableColumns>
  <tableStyleInfo name="Sayf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8.5"/>
    <col customWidth="1" min="4" max="4" width="18.13"/>
    <col customWidth="1" min="5" max="5" width="15.38"/>
    <col customWidth="1" min="7" max="7" width="14.25"/>
    <col customWidth="1" min="8" max="8" width="12.13"/>
    <col customWidth="1" min="9" max="9" width="19.13"/>
    <col customWidth="1" min="10" max="10" width="28.75"/>
    <col customWidth="1" min="11" max="11" width="12.13"/>
    <col customWidth="1" min="12" max="12" width="11.38"/>
    <col customWidth="1" min="13" max="13" width="13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4"/>
    </row>
    <row r="2" ht="22.5" customHeight="1">
      <c r="A2" s="5" t="s">
        <v>17</v>
      </c>
      <c r="B2" s="5" t="str">
        <f t="shared" ref="B2:B44" si="1">LOWER(SUBSTITUTE(A2," ","_"))</f>
        <v>beetroot</v>
      </c>
      <c r="C2" s="6" t="s">
        <v>18</v>
      </c>
      <c r="D2" s="7">
        <v>7.0</v>
      </c>
      <c r="E2" s="7"/>
      <c r="F2" s="7">
        <f t="shared" ref="F2:F44" si="2">G2</f>
        <v>2</v>
      </c>
      <c r="G2" s="7">
        <v>2.0</v>
      </c>
      <c r="H2" s="6" t="b">
        <v>0</v>
      </c>
      <c r="I2" s="5">
        <v>1.0</v>
      </c>
      <c r="J2" s="5" t="s">
        <v>19</v>
      </c>
      <c r="K2" s="8">
        <v>14.0</v>
      </c>
      <c r="L2" s="5">
        <f t="shared" ref="L2:L44" si="3">ROUND((K2/2)/5,0)*5</f>
        <v>5</v>
      </c>
      <c r="M2" s="5">
        <f t="shared" ref="M2:M44" si="4">ROUND((N2*4/3)/5,0)*5</f>
        <v>30</v>
      </c>
      <c r="N2" s="8">
        <v>22.0</v>
      </c>
      <c r="O2" s="9">
        <f t="shared" ref="O2:O44" si="5">ROUND(((AVERAGE(F2:G2)*N2*INT(30/D2))-(K2*(1+(H2=FALSE)*(INT(30/D2)-1))))/(K2*(1+(H2=FALSE)*(INT(30/D2)-1))),1)</f>
        <v>2.1</v>
      </c>
      <c r="P2" s="10">
        <v>20.0</v>
      </c>
      <c r="Q2" s="10">
        <v>30.0</v>
      </c>
      <c r="R2" s="11"/>
    </row>
    <row r="3" ht="22.5" customHeight="1">
      <c r="A3" s="5" t="s">
        <v>20</v>
      </c>
      <c r="B3" s="5" t="str">
        <f t="shared" si="1"/>
        <v>blackberry</v>
      </c>
      <c r="C3" s="6" t="s">
        <v>18</v>
      </c>
      <c r="D3" s="7">
        <v>11.0</v>
      </c>
      <c r="E3" s="7"/>
      <c r="F3" s="7">
        <f t="shared" si="2"/>
        <v>2</v>
      </c>
      <c r="G3" s="7">
        <v>2.0</v>
      </c>
      <c r="H3" s="6" t="b">
        <v>1</v>
      </c>
      <c r="I3" s="5">
        <v>1.0</v>
      </c>
      <c r="J3" s="5" t="s">
        <v>21</v>
      </c>
      <c r="K3" s="8">
        <v>60.0</v>
      </c>
      <c r="L3" s="5">
        <f t="shared" si="3"/>
        <v>30</v>
      </c>
      <c r="M3" s="5">
        <f t="shared" si="4"/>
        <v>40</v>
      </c>
      <c r="N3" s="8">
        <v>30.0</v>
      </c>
      <c r="O3" s="9">
        <f t="shared" si="5"/>
        <v>1</v>
      </c>
      <c r="P3" s="10">
        <v>20.0</v>
      </c>
      <c r="Q3" s="10">
        <v>30.0</v>
      </c>
      <c r="R3" s="11"/>
    </row>
    <row r="4" ht="22.5" customHeight="1">
      <c r="A4" s="5" t="s">
        <v>22</v>
      </c>
      <c r="B4" s="5" t="str">
        <f t="shared" si="1"/>
        <v>blueberry</v>
      </c>
      <c r="C4" s="6" t="s">
        <v>18</v>
      </c>
      <c r="D4" s="7">
        <v>9.0</v>
      </c>
      <c r="E4" s="7"/>
      <c r="F4" s="7">
        <f t="shared" si="2"/>
        <v>4</v>
      </c>
      <c r="G4" s="7">
        <v>4.0</v>
      </c>
      <c r="H4" s="6" t="b">
        <v>1</v>
      </c>
      <c r="I4" s="5">
        <v>1.0</v>
      </c>
      <c r="J4" s="5" t="s">
        <v>21</v>
      </c>
      <c r="K4" s="12">
        <v>160.0</v>
      </c>
      <c r="L4" s="5">
        <f t="shared" si="3"/>
        <v>80</v>
      </c>
      <c r="M4" s="5">
        <f t="shared" si="4"/>
        <v>45</v>
      </c>
      <c r="N4" s="12">
        <v>34.0</v>
      </c>
      <c r="O4" s="9">
        <f t="shared" si="5"/>
        <v>1.6</v>
      </c>
      <c r="P4" s="10">
        <v>20.0</v>
      </c>
      <c r="Q4" s="10">
        <v>30.0</v>
      </c>
      <c r="R4" s="11"/>
    </row>
    <row r="5" ht="22.5" customHeight="1">
      <c r="A5" s="5" t="s">
        <v>23</v>
      </c>
      <c r="B5" s="5" t="str">
        <f t="shared" si="1"/>
        <v>broccoli</v>
      </c>
      <c r="C5" s="6" t="s">
        <v>18</v>
      </c>
      <c r="D5" s="7">
        <v>8.0</v>
      </c>
      <c r="E5" s="7"/>
      <c r="F5" s="7">
        <f t="shared" si="2"/>
        <v>2</v>
      </c>
      <c r="G5" s="7">
        <v>2.0</v>
      </c>
      <c r="H5" s="6" t="b">
        <v>1</v>
      </c>
      <c r="I5" s="5">
        <v>1.0</v>
      </c>
      <c r="J5" s="5" t="s">
        <v>19</v>
      </c>
      <c r="K5" s="8">
        <v>80.0</v>
      </c>
      <c r="L5" s="5">
        <f t="shared" si="3"/>
        <v>40</v>
      </c>
      <c r="M5" s="5">
        <f t="shared" si="4"/>
        <v>40</v>
      </c>
      <c r="N5" s="8">
        <v>30.0</v>
      </c>
      <c r="O5" s="9">
        <f t="shared" si="5"/>
        <v>1.3</v>
      </c>
      <c r="P5" s="10">
        <v>20.0</v>
      </c>
      <c r="Q5" s="10">
        <v>30.0</v>
      </c>
      <c r="R5" s="11"/>
    </row>
    <row r="6" ht="22.5" customHeight="1">
      <c r="A6" s="5" t="s">
        <v>24</v>
      </c>
      <c r="B6" s="5" t="str">
        <f t="shared" si="1"/>
        <v>cabbage</v>
      </c>
      <c r="C6" s="6" t="s">
        <v>18</v>
      </c>
      <c r="D6" s="7">
        <v>9.0</v>
      </c>
      <c r="E6" s="7"/>
      <c r="F6" s="7">
        <f t="shared" si="2"/>
        <v>1</v>
      </c>
      <c r="G6" s="7">
        <v>1.0</v>
      </c>
      <c r="H6" s="6" t="b">
        <v>0</v>
      </c>
      <c r="I6" s="5">
        <v>1.0</v>
      </c>
      <c r="J6" s="5" t="s">
        <v>25</v>
      </c>
      <c r="K6" s="12">
        <v>10.0</v>
      </c>
      <c r="L6" s="5">
        <f t="shared" si="3"/>
        <v>5</v>
      </c>
      <c r="M6" s="5">
        <f t="shared" si="4"/>
        <v>40</v>
      </c>
      <c r="N6" s="12">
        <v>30.0</v>
      </c>
      <c r="O6" s="9">
        <f t="shared" si="5"/>
        <v>2</v>
      </c>
      <c r="P6" s="10">
        <v>20.0</v>
      </c>
      <c r="Q6" s="10">
        <v>30.0</v>
      </c>
      <c r="R6" s="11"/>
    </row>
    <row r="7" ht="22.5" customHeight="1">
      <c r="A7" s="5" t="s">
        <v>26</v>
      </c>
      <c r="B7" s="5" t="str">
        <f t="shared" si="1"/>
        <v>carrot</v>
      </c>
      <c r="C7" s="6" t="s">
        <v>18</v>
      </c>
      <c r="D7" s="7">
        <v>4.0</v>
      </c>
      <c r="E7" s="7" t="s">
        <v>27</v>
      </c>
      <c r="F7" s="7">
        <f t="shared" si="2"/>
        <v>2</v>
      </c>
      <c r="G7" s="7">
        <v>2.0</v>
      </c>
      <c r="H7" s="6" t="b">
        <v>0</v>
      </c>
      <c r="I7" s="5">
        <v>1.0</v>
      </c>
      <c r="J7" s="5" t="s">
        <v>25</v>
      </c>
      <c r="K7" s="8">
        <v>8.0</v>
      </c>
      <c r="L7" s="5">
        <f t="shared" si="3"/>
        <v>5</v>
      </c>
      <c r="M7" s="5">
        <f t="shared" si="4"/>
        <v>15</v>
      </c>
      <c r="N7" s="8">
        <v>12.0</v>
      </c>
      <c r="O7" s="9">
        <f t="shared" si="5"/>
        <v>2</v>
      </c>
      <c r="P7" s="10">
        <v>20.0</v>
      </c>
      <c r="Q7" s="10">
        <v>30.0</v>
      </c>
      <c r="R7" s="11"/>
    </row>
    <row r="8" ht="22.5" customHeight="1">
      <c r="A8" s="5" t="s">
        <v>28</v>
      </c>
      <c r="B8" s="5" t="str">
        <f t="shared" si="1"/>
        <v>cauliflower</v>
      </c>
      <c r="C8" s="6" t="s">
        <v>18</v>
      </c>
      <c r="D8" s="7">
        <v>10.0</v>
      </c>
      <c r="E8" s="7" t="s">
        <v>29</v>
      </c>
      <c r="F8" s="7">
        <f t="shared" si="2"/>
        <v>1</v>
      </c>
      <c r="G8" s="7">
        <v>1.0</v>
      </c>
      <c r="H8" s="6" t="b">
        <v>0</v>
      </c>
      <c r="I8" s="5">
        <v>1.0</v>
      </c>
      <c r="J8" s="5" t="s">
        <v>25</v>
      </c>
      <c r="K8" s="12">
        <v>12.0</v>
      </c>
      <c r="L8" s="5">
        <f t="shared" si="3"/>
        <v>5</v>
      </c>
      <c r="M8" s="5">
        <f t="shared" si="4"/>
        <v>50</v>
      </c>
      <c r="N8" s="12">
        <v>36.0</v>
      </c>
      <c r="O8" s="9">
        <f t="shared" si="5"/>
        <v>2</v>
      </c>
      <c r="P8" s="10">
        <v>20.0</v>
      </c>
      <c r="Q8" s="10">
        <v>30.0</v>
      </c>
      <c r="R8" s="11"/>
    </row>
    <row r="9" ht="22.5" customHeight="1">
      <c r="A9" s="5" t="s">
        <v>30</v>
      </c>
      <c r="B9" s="5" t="str">
        <f t="shared" si="1"/>
        <v>corn</v>
      </c>
      <c r="C9" s="6" t="s">
        <v>18</v>
      </c>
      <c r="D9" s="7">
        <v>11.0</v>
      </c>
      <c r="E9" s="7"/>
      <c r="F9" s="7">
        <f t="shared" si="2"/>
        <v>3</v>
      </c>
      <c r="G9" s="7">
        <v>3.0</v>
      </c>
      <c r="H9" s="6" t="b">
        <v>1</v>
      </c>
      <c r="I9" s="5">
        <v>1.0</v>
      </c>
      <c r="J9" s="5" t="s">
        <v>31</v>
      </c>
      <c r="K9" s="12">
        <v>50.0</v>
      </c>
      <c r="L9" s="5">
        <f t="shared" si="3"/>
        <v>25</v>
      </c>
      <c r="M9" s="5">
        <f t="shared" si="4"/>
        <v>25</v>
      </c>
      <c r="N9" s="12">
        <v>18.0</v>
      </c>
      <c r="O9" s="9">
        <f t="shared" si="5"/>
        <v>1.2</v>
      </c>
      <c r="P9" s="10">
        <v>20.0</v>
      </c>
      <c r="Q9" s="10">
        <v>30.0</v>
      </c>
      <c r="R9" s="11"/>
    </row>
    <row r="10" ht="22.5" customHeight="1">
      <c r="A10" s="5" t="s">
        <v>32</v>
      </c>
      <c r="B10" s="5" t="str">
        <f t="shared" si="1"/>
        <v>melon</v>
      </c>
      <c r="C10" s="6" t="s">
        <v>18</v>
      </c>
      <c r="D10" s="7">
        <v>12.0</v>
      </c>
      <c r="E10" s="7"/>
      <c r="F10" s="7">
        <f t="shared" si="2"/>
        <v>1</v>
      </c>
      <c r="G10" s="7">
        <v>1.0</v>
      </c>
      <c r="H10" s="6" t="b">
        <v>0</v>
      </c>
      <c r="I10" s="5">
        <v>1.0</v>
      </c>
      <c r="J10" s="5" t="s">
        <v>21</v>
      </c>
      <c r="K10" s="8">
        <v>24.0</v>
      </c>
      <c r="L10" s="5">
        <f t="shared" si="3"/>
        <v>10</v>
      </c>
      <c r="M10" s="5">
        <f t="shared" si="4"/>
        <v>105</v>
      </c>
      <c r="N10" s="8">
        <v>80.0</v>
      </c>
      <c r="O10" s="9">
        <f t="shared" si="5"/>
        <v>2.3</v>
      </c>
      <c r="P10" s="10">
        <v>20.0</v>
      </c>
      <c r="Q10" s="10">
        <v>30.0</v>
      </c>
      <c r="R10" s="11"/>
    </row>
    <row r="11" ht="22.5" customHeight="1">
      <c r="A11" s="5" t="s">
        <v>33</v>
      </c>
      <c r="B11" s="5" t="str">
        <f t="shared" si="1"/>
        <v>oat</v>
      </c>
      <c r="C11" s="6" t="s">
        <v>18</v>
      </c>
      <c r="D11" s="7">
        <v>7.0</v>
      </c>
      <c r="E11" s="7"/>
      <c r="F11" s="7">
        <f t="shared" si="2"/>
        <v>3</v>
      </c>
      <c r="G11" s="7">
        <v>3.0</v>
      </c>
      <c r="H11" s="6" t="b">
        <v>0</v>
      </c>
      <c r="I11" s="5">
        <v>1.0</v>
      </c>
      <c r="J11" s="5" t="s">
        <v>19</v>
      </c>
      <c r="K11" s="12">
        <v>10.0</v>
      </c>
      <c r="L11" s="5">
        <f t="shared" si="3"/>
        <v>5</v>
      </c>
      <c r="M11" s="5">
        <f t="shared" si="4"/>
        <v>15</v>
      </c>
      <c r="N11" s="12">
        <v>10.0</v>
      </c>
      <c r="O11" s="9">
        <f t="shared" si="5"/>
        <v>2</v>
      </c>
      <c r="P11" s="10">
        <v>20.0</v>
      </c>
      <c r="Q11" s="10">
        <v>30.0</v>
      </c>
      <c r="R11" s="11"/>
    </row>
    <row r="12" ht="22.5" customHeight="1">
      <c r="A12" s="5" t="s">
        <v>34</v>
      </c>
      <c r="B12" s="5" t="str">
        <f t="shared" si="1"/>
        <v>onion</v>
      </c>
      <c r="C12" s="6" t="s">
        <v>18</v>
      </c>
      <c r="D12" s="7">
        <v>5.0</v>
      </c>
      <c r="E12" s="7"/>
      <c r="F12" s="7">
        <f t="shared" si="2"/>
        <v>2</v>
      </c>
      <c r="G12" s="7">
        <v>2.0</v>
      </c>
      <c r="H12" s="6" t="b">
        <v>0</v>
      </c>
      <c r="I12" s="5">
        <v>1.0</v>
      </c>
      <c r="J12" s="5" t="s">
        <v>25</v>
      </c>
      <c r="K12" s="12">
        <v>10.0</v>
      </c>
      <c r="L12" s="5">
        <f t="shared" si="3"/>
        <v>5</v>
      </c>
      <c r="M12" s="5">
        <f t="shared" si="4"/>
        <v>20</v>
      </c>
      <c r="N12" s="12">
        <v>15.0</v>
      </c>
      <c r="O12" s="9">
        <f t="shared" si="5"/>
        <v>2</v>
      </c>
      <c r="P12" s="10">
        <v>20.0</v>
      </c>
      <c r="Q12" s="10">
        <v>30.0</v>
      </c>
      <c r="R12" s="11"/>
    </row>
    <row r="13" ht="22.5" customHeight="1">
      <c r="A13" s="5" t="s">
        <v>35</v>
      </c>
      <c r="B13" s="5" t="str">
        <f t="shared" si="1"/>
        <v>potato</v>
      </c>
      <c r="C13" s="6" t="s">
        <v>18</v>
      </c>
      <c r="D13" s="7">
        <v>6.0</v>
      </c>
      <c r="E13" s="7"/>
      <c r="F13" s="7">
        <f t="shared" si="2"/>
        <v>3</v>
      </c>
      <c r="G13" s="7">
        <v>3.0</v>
      </c>
      <c r="H13" s="6" t="b">
        <v>0</v>
      </c>
      <c r="I13" s="5">
        <v>1.0</v>
      </c>
      <c r="J13" s="5" t="s">
        <v>25</v>
      </c>
      <c r="K13" s="12">
        <v>16.0</v>
      </c>
      <c r="L13" s="5">
        <f t="shared" si="3"/>
        <v>10</v>
      </c>
      <c r="M13" s="5">
        <f t="shared" si="4"/>
        <v>20</v>
      </c>
      <c r="N13" s="12">
        <v>16.0</v>
      </c>
      <c r="O13" s="9">
        <f t="shared" si="5"/>
        <v>2</v>
      </c>
      <c r="P13" s="10">
        <v>20.0</v>
      </c>
      <c r="Q13" s="10">
        <v>30.0</v>
      </c>
      <c r="R13" s="11"/>
    </row>
    <row r="14" ht="22.5" customHeight="1">
      <c r="A14" s="5" t="s">
        <v>36</v>
      </c>
      <c r="B14" s="5" t="str">
        <f t="shared" si="1"/>
        <v>pumpkin</v>
      </c>
      <c r="C14" s="6" t="s">
        <v>18</v>
      </c>
      <c r="D14" s="7">
        <v>13.0</v>
      </c>
      <c r="E14" s="7"/>
      <c r="F14" s="7">
        <f t="shared" si="2"/>
        <v>1</v>
      </c>
      <c r="G14" s="7">
        <v>1.0</v>
      </c>
      <c r="H14" s="6" t="b">
        <v>0</v>
      </c>
      <c r="I14" s="5">
        <v>1.0</v>
      </c>
      <c r="J14" s="5" t="s">
        <v>19</v>
      </c>
      <c r="K14" s="8">
        <v>22.0</v>
      </c>
      <c r="L14" s="5">
        <f t="shared" si="3"/>
        <v>10</v>
      </c>
      <c r="M14" s="5">
        <f t="shared" si="4"/>
        <v>95</v>
      </c>
      <c r="N14" s="8">
        <v>70.0</v>
      </c>
      <c r="O14" s="9">
        <f t="shared" si="5"/>
        <v>2.2</v>
      </c>
      <c r="P14" s="10">
        <v>20.0</v>
      </c>
      <c r="Q14" s="10">
        <v>30.0</v>
      </c>
      <c r="R14" s="11"/>
    </row>
    <row r="15" ht="22.5" customHeight="1">
      <c r="A15" s="5" t="s">
        <v>37</v>
      </c>
      <c r="B15" s="5" t="str">
        <f t="shared" si="1"/>
        <v>raspberry</v>
      </c>
      <c r="C15" s="6" t="s">
        <v>18</v>
      </c>
      <c r="D15" s="7">
        <v>8.0</v>
      </c>
      <c r="E15" s="7"/>
      <c r="F15" s="7">
        <f t="shared" si="2"/>
        <v>2</v>
      </c>
      <c r="G15" s="7">
        <v>2.0</v>
      </c>
      <c r="H15" s="6" t="b">
        <v>1</v>
      </c>
      <c r="I15" s="5">
        <v>1.0</v>
      </c>
      <c r="J15" s="5" t="s">
        <v>25</v>
      </c>
      <c r="K15" s="12">
        <v>70.0</v>
      </c>
      <c r="L15" s="5">
        <f t="shared" si="3"/>
        <v>35</v>
      </c>
      <c r="M15" s="5">
        <f t="shared" si="4"/>
        <v>35</v>
      </c>
      <c r="N15" s="12">
        <v>28.0</v>
      </c>
      <c r="O15" s="9">
        <f t="shared" si="5"/>
        <v>1.4</v>
      </c>
      <c r="P15" s="10">
        <v>20.0</v>
      </c>
      <c r="Q15" s="10">
        <v>30.0</v>
      </c>
      <c r="R15" s="11"/>
    </row>
    <row r="16" ht="22.5" customHeight="1">
      <c r="A16" s="5" t="s">
        <v>38</v>
      </c>
      <c r="B16" s="5" t="str">
        <f t="shared" si="1"/>
        <v>rice</v>
      </c>
      <c r="C16" s="6" t="s">
        <v>18</v>
      </c>
      <c r="D16" s="7">
        <v>9.0</v>
      </c>
      <c r="E16" s="7"/>
      <c r="F16" s="7">
        <f t="shared" si="2"/>
        <v>3</v>
      </c>
      <c r="G16" s="7">
        <v>3.0</v>
      </c>
      <c r="H16" s="6" t="b">
        <v>0</v>
      </c>
      <c r="I16" s="5">
        <v>1.0</v>
      </c>
      <c r="J16" s="5" t="s">
        <v>21</v>
      </c>
      <c r="K16" s="8">
        <v>12.0</v>
      </c>
      <c r="L16" s="5">
        <f t="shared" si="3"/>
        <v>5</v>
      </c>
      <c r="M16" s="5">
        <f t="shared" si="4"/>
        <v>15</v>
      </c>
      <c r="N16" s="8">
        <v>12.0</v>
      </c>
      <c r="O16" s="9">
        <f t="shared" si="5"/>
        <v>2</v>
      </c>
      <c r="P16" s="10">
        <v>20.0</v>
      </c>
      <c r="Q16" s="10">
        <v>30.0</v>
      </c>
      <c r="R16" s="11"/>
    </row>
    <row r="17" ht="22.5" customHeight="1">
      <c r="A17" s="5" t="s">
        <v>39</v>
      </c>
      <c r="B17" s="5" t="str">
        <f t="shared" si="1"/>
        <v>strawberry</v>
      </c>
      <c r="C17" s="6" t="s">
        <v>18</v>
      </c>
      <c r="D17" s="7">
        <v>8.0</v>
      </c>
      <c r="E17" s="7"/>
      <c r="F17" s="7">
        <f t="shared" si="2"/>
        <v>2</v>
      </c>
      <c r="G17" s="7">
        <v>2.0</v>
      </c>
      <c r="H17" s="6" t="b">
        <v>1</v>
      </c>
      <c r="I17" s="5">
        <v>1.0</v>
      </c>
      <c r="J17" s="5" t="s">
        <v>25</v>
      </c>
      <c r="K17" s="12">
        <v>80.0</v>
      </c>
      <c r="L17" s="5">
        <f t="shared" si="3"/>
        <v>40</v>
      </c>
      <c r="M17" s="5">
        <f t="shared" si="4"/>
        <v>45</v>
      </c>
      <c r="N17" s="12">
        <v>32.0</v>
      </c>
      <c r="O17" s="9">
        <f t="shared" si="5"/>
        <v>1.4</v>
      </c>
      <c r="P17" s="10">
        <v>20.0</v>
      </c>
      <c r="Q17" s="10">
        <v>30.0</v>
      </c>
      <c r="R17" s="11"/>
    </row>
    <row r="18" ht="22.5" customHeight="1">
      <c r="A18" s="5" t="s">
        <v>40</v>
      </c>
      <c r="B18" s="5" t="str">
        <f t="shared" si="1"/>
        <v>sunflower</v>
      </c>
      <c r="C18" s="6" t="s">
        <v>18</v>
      </c>
      <c r="D18" s="7">
        <v>8.0</v>
      </c>
      <c r="E18" s="7"/>
      <c r="F18" s="7">
        <f t="shared" si="2"/>
        <v>2</v>
      </c>
      <c r="G18" s="7">
        <v>2.0</v>
      </c>
      <c r="H18" s="6" t="b">
        <v>0</v>
      </c>
      <c r="I18" s="5">
        <v>1.0</v>
      </c>
      <c r="J18" s="5" t="s">
        <v>21</v>
      </c>
      <c r="K18" s="8">
        <v>16.0</v>
      </c>
      <c r="L18" s="5">
        <f t="shared" si="3"/>
        <v>10</v>
      </c>
      <c r="M18" s="5">
        <f t="shared" si="4"/>
        <v>30</v>
      </c>
      <c r="N18" s="8">
        <v>24.0</v>
      </c>
      <c r="O18" s="9">
        <f t="shared" si="5"/>
        <v>2</v>
      </c>
      <c r="P18" s="10">
        <v>20.0</v>
      </c>
      <c r="Q18" s="10">
        <v>30.0</v>
      </c>
      <c r="R18" s="11"/>
    </row>
    <row r="19" ht="22.5" customHeight="1">
      <c r="A19" s="5" t="s">
        <v>41</v>
      </c>
      <c r="B19" s="5" t="str">
        <f t="shared" si="1"/>
        <v>wheat</v>
      </c>
      <c r="C19" s="6" t="s">
        <v>18</v>
      </c>
      <c r="D19" s="7">
        <v>7.0</v>
      </c>
      <c r="E19" s="7"/>
      <c r="F19" s="7">
        <f t="shared" si="2"/>
        <v>3</v>
      </c>
      <c r="G19" s="7">
        <v>3.0</v>
      </c>
      <c r="H19" s="6" t="b">
        <v>0</v>
      </c>
      <c r="I19" s="5">
        <v>1.0</v>
      </c>
      <c r="J19" s="5" t="s">
        <v>19</v>
      </c>
      <c r="K19" s="8">
        <v>8.0</v>
      </c>
      <c r="L19" s="5">
        <f t="shared" si="3"/>
        <v>5</v>
      </c>
      <c r="M19" s="5">
        <f t="shared" si="4"/>
        <v>10</v>
      </c>
      <c r="N19" s="8">
        <v>8.0</v>
      </c>
      <c r="O19" s="9">
        <f t="shared" si="5"/>
        <v>2</v>
      </c>
      <c r="P19" s="10">
        <v>20.0</v>
      </c>
      <c r="Q19" s="10">
        <v>30.0</v>
      </c>
      <c r="R19" s="11"/>
    </row>
    <row r="20" ht="22.5" customHeight="1">
      <c r="A20" s="5" t="s">
        <v>42</v>
      </c>
      <c r="B20" s="5" t="str">
        <f t="shared" si="1"/>
        <v>cucumber</v>
      </c>
      <c r="C20" s="6" t="s">
        <v>43</v>
      </c>
      <c r="D20" s="7">
        <v>6.0</v>
      </c>
      <c r="E20" s="7"/>
      <c r="F20" s="7">
        <f t="shared" si="2"/>
        <v>3</v>
      </c>
      <c r="G20" s="7">
        <v>3.0</v>
      </c>
      <c r="H20" s="6" t="b">
        <v>0</v>
      </c>
      <c r="I20" s="5">
        <v>1.0</v>
      </c>
      <c r="J20" s="5" t="s">
        <v>21</v>
      </c>
      <c r="K20" s="8">
        <v>120.0</v>
      </c>
      <c r="L20" s="5">
        <f t="shared" si="3"/>
        <v>60</v>
      </c>
      <c r="M20" s="5">
        <f t="shared" si="4"/>
        <v>25</v>
      </c>
      <c r="N20" s="8">
        <v>20.0</v>
      </c>
      <c r="O20" s="9">
        <f t="shared" si="5"/>
        <v>-0.5</v>
      </c>
      <c r="P20" s="10">
        <v>20.0</v>
      </c>
      <c r="Q20" s="10">
        <v>30.0</v>
      </c>
      <c r="R20" s="11"/>
    </row>
    <row r="21" ht="22.5" customHeight="1">
      <c r="A21" s="5" t="s">
        <v>44</v>
      </c>
      <c r="B21" s="5" t="str">
        <f t="shared" si="1"/>
        <v>grape</v>
      </c>
      <c r="C21" s="6" t="s">
        <v>43</v>
      </c>
      <c r="D21" s="7">
        <v>10.0</v>
      </c>
      <c r="E21" s="7"/>
      <c r="F21" s="7">
        <f t="shared" si="2"/>
        <v>2</v>
      </c>
      <c r="G21" s="7">
        <v>2.0</v>
      </c>
      <c r="H21" s="6" t="b">
        <v>0</v>
      </c>
      <c r="I21" s="5">
        <v>1.0</v>
      </c>
      <c r="J21" s="5" t="s">
        <v>31</v>
      </c>
      <c r="K21" s="12">
        <v>100.0</v>
      </c>
      <c r="L21" s="5">
        <f t="shared" si="3"/>
        <v>50</v>
      </c>
      <c r="M21" s="5">
        <f t="shared" si="4"/>
        <v>50</v>
      </c>
      <c r="N21" s="12">
        <v>38.0</v>
      </c>
      <c r="O21" s="9">
        <f t="shared" si="5"/>
        <v>-0.2</v>
      </c>
      <c r="P21" s="10">
        <v>20.0</v>
      </c>
      <c r="Q21" s="10">
        <v>30.0</v>
      </c>
      <c r="R21" s="11"/>
    </row>
    <row r="22" ht="22.5" customHeight="1">
      <c r="A22" s="5" t="s">
        <v>45</v>
      </c>
      <c r="B22" s="5" t="str">
        <f t="shared" si="1"/>
        <v>green_bean</v>
      </c>
      <c r="C22" s="6" t="s">
        <v>43</v>
      </c>
      <c r="D22" s="7">
        <v>7.0</v>
      </c>
      <c r="E22" s="7"/>
      <c r="F22" s="7">
        <f t="shared" si="2"/>
        <v>4</v>
      </c>
      <c r="G22" s="7">
        <v>4.0</v>
      </c>
      <c r="H22" s="6" t="b">
        <v>0</v>
      </c>
      <c r="I22" s="5">
        <v>1.0</v>
      </c>
      <c r="J22" s="5" t="s">
        <v>31</v>
      </c>
      <c r="K22" s="8">
        <v>80.0</v>
      </c>
      <c r="L22" s="5">
        <f t="shared" si="3"/>
        <v>40</v>
      </c>
      <c r="M22" s="5">
        <f t="shared" si="4"/>
        <v>15</v>
      </c>
      <c r="N22" s="8">
        <v>12.0</v>
      </c>
      <c r="O22" s="9">
        <f t="shared" si="5"/>
        <v>-0.4</v>
      </c>
      <c r="P22" s="10">
        <v>20.0</v>
      </c>
      <c r="Q22" s="10">
        <v>30.0</v>
      </c>
      <c r="R22" s="11"/>
    </row>
    <row r="23" ht="22.5" customHeight="1">
      <c r="A23" s="5" t="s">
        <v>46</v>
      </c>
      <c r="B23" s="5" t="str">
        <f t="shared" si="1"/>
        <v>tomato</v>
      </c>
      <c r="C23" s="6" t="s">
        <v>43</v>
      </c>
      <c r="D23" s="7">
        <v>9.0</v>
      </c>
      <c r="E23" s="7"/>
      <c r="F23" s="7">
        <f t="shared" si="2"/>
        <v>3</v>
      </c>
      <c r="G23" s="7">
        <v>3.0</v>
      </c>
      <c r="H23" s="6" t="b">
        <v>0</v>
      </c>
      <c r="I23" s="5">
        <v>1.0</v>
      </c>
      <c r="J23" s="5" t="s">
        <v>21</v>
      </c>
      <c r="K23" s="12">
        <v>100.0</v>
      </c>
      <c r="L23" s="5">
        <f t="shared" si="3"/>
        <v>50</v>
      </c>
      <c r="M23" s="5">
        <f t="shared" si="4"/>
        <v>35</v>
      </c>
      <c r="N23" s="12">
        <v>26.0</v>
      </c>
      <c r="O23" s="9">
        <f t="shared" si="5"/>
        <v>-0.2</v>
      </c>
      <c r="P23" s="10">
        <v>20.0</v>
      </c>
      <c r="Q23" s="10">
        <v>30.0</v>
      </c>
      <c r="R23" s="11"/>
    </row>
    <row r="24" ht="22.5" customHeight="1">
      <c r="A24" s="5" t="s">
        <v>47</v>
      </c>
      <c r="B24" s="5" t="str">
        <f t="shared" si="1"/>
        <v>basil</v>
      </c>
      <c r="C24" s="6" t="s">
        <v>48</v>
      </c>
      <c r="D24" s="7">
        <v>5.0</v>
      </c>
      <c r="E24" s="7"/>
      <c r="F24" s="7">
        <f t="shared" si="2"/>
        <v>3</v>
      </c>
      <c r="G24" s="7">
        <v>3.0</v>
      </c>
      <c r="H24" s="6" t="b">
        <v>1</v>
      </c>
      <c r="I24" s="5">
        <v>1.0</v>
      </c>
      <c r="J24" s="5" t="s">
        <v>21</v>
      </c>
      <c r="K24" s="12">
        <v>130.0</v>
      </c>
      <c r="L24" s="5">
        <f t="shared" si="3"/>
        <v>65</v>
      </c>
      <c r="M24" s="5">
        <f t="shared" si="4"/>
        <v>25</v>
      </c>
      <c r="N24" s="12">
        <v>20.0</v>
      </c>
      <c r="O24" s="9">
        <f t="shared" si="5"/>
        <v>1.8</v>
      </c>
      <c r="P24" s="10">
        <v>20.0</v>
      </c>
      <c r="Q24" s="10">
        <v>30.0</v>
      </c>
      <c r="R24" s="11"/>
    </row>
    <row r="25" ht="22.5" customHeight="1">
      <c r="A25" s="5" t="s">
        <v>49</v>
      </c>
      <c r="B25" s="5" t="str">
        <f t="shared" si="1"/>
        <v>chamomile</v>
      </c>
      <c r="C25" s="6" t="s">
        <v>48</v>
      </c>
      <c r="D25" s="7">
        <v>5.0</v>
      </c>
      <c r="E25" s="7"/>
      <c r="F25" s="7">
        <f t="shared" si="2"/>
        <v>3</v>
      </c>
      <c r="G25" s="7">
        <v>3.0</v>
      </c>
      <c r="H25" s="6" t="b">
        <v>1</v>
      </c>
      <c r="I25" s="5">
        <v>1.0</v>
      </c>
      <c r="J25" s="5" t="s">
        <v>25</v>
      </c>
      <c r="K25" s="8">
        <v>140.0</v>
      </c>
      <c r="L25" s="5">
        <f t="shared" si="3"/>
        <v>70</v>
      </c>
      <c r="M25" s="5">
        <f t="shared" si="4"/>
        <v>30</v>
      </c>
      <c r="N25" s="8">
        <v>22.0</v>
      </c>
      <c r="O25" s="9">
        <f t="shared" si="5"/>
        <v>1.8</v>
      </c>
      <c r="P25" s="10">
        <v>20.0</v>
      </c>
      <c r="Q25" s="10">
        <v>30.0</v>
      </c>
      <c r="R25" s="11"/>
    </row>
    <row r="26" ht="22.5" customHeight="1">
      <c r="A26" s="5" t="s">
        <v>50</v>
      </c>
      <c r="B26" s="5" t="str">
        <f t="shared" si="1"/>
        <v>chili_pepper</v>
      </c>
      <c r="C26" s="6" t="s">
        <v>48</v>
      </c>
      <c r="D26" s="7">
        <v>9.0</v>
      </c>
      <c r="E26" s="7"/>
      <c r="F26" s="7">
        <f t="shared" si="2"/>
        <v>3</v>
      </c>
      <c r="G26" s="7">
        <v>3.0</v>
      </c>
      <c r="H26" s="6" t="b">
        <v>1</v>
      </c>
      <c r="I26" s="5">
        <v>1.0</v>
      </c>
      <c r="J26" s="5" t="s">
        <v>31</v>
      </c>
      <c r="K26" s="8">
        <v>90.0</v>
      </c>
      <c r="L26" s="5">
        <f t="shared" si="3"/>
        <v>45</v>
      </c>
      <c r="M26" s="5">
        <f t="shared" si="4"/>
        <v>30</v>
      </c>
      <c r="N26" s="8">
        <v>24.0</v>
      </c>
      <c r="O26" s="9">
        <f t="shared" si="5"/>
        <v>1.4</v>
      </c>
      <c r="P26" s="10">
        <v>20.0</v>
      </c>
      <c r="Q26" s="10">
        <v>30.0</v>
      </c>
      <c r="R26" s="11"/>
    </row>
    <row r="27" ht="22.5" customHeight="1">
      <c r="A27" s="5" t="s">
        <v>51</v>
      </c>
      <c r="B27" s="5" t="str">
        <f t="shared" si="1"/>
        <v>coffee</v>
      </c>
      <c r="C27" s="6" t="s">
        <v>48</v>
      </c>
      <c r="D27" s="7">
        <v>13.0</v>
      </c>
      <c r="E27" s="7"/>
      <c r="F27" s="7">
        <f t="shared" si="2"/>
        <v>2</v>
      </c>
      <c r="G27" s="7">
        <v>2.0</v>
      </c>
      <c r="H27" s="6" t="b">
        <v>1</v>
      </c>
      <c r="I27" s="5">
        <v>1.0</v>
      </c>
      <c r="J27" s="5" t="s">
        <v>52</v>
      </c>
      <c r="K27" s="8">
        <v>200.0</v>
      </c>
      <c r="L27" s="5">
        <f t="shared" si="3"/>
        <v>100</v>
      </c>
      <c r="M27" s="5">
        <f t="shared" si="4"/>
        <v>135</v>
      </c>
      <c r="N27" s="8">
        <v>100.0</v>
      </c>
      <c r="O27" s="9">
        <f t="shared" si="5"/>
        <v>1</v>
      </c>
      <c r="P27" s="10">
        <v>20.0</v>
      </c>
      <c r="Q27" s="10">
        <v>30.0</v>
      </c>
      <c r="R27" s="11"/>
    </row>
    <row r="28" ht="22.5" customHeight="1">
      <c r="A28" s="5" t="s">
        <v>53</v>
      </c>
      <c r="B28" s="5" t="str">
        <f t="shared" si="1"/>
        <v>garlic</v>
      </c>
      <c r="C28" s="6" t="s">
        <v>48</v>
      </c>
      <c r="D28" s="7">
        <v>6.0</v>
      </c>
      <c r="E28" s="7"/>
      <c r="F28" s="7">
        <f t="shared" si="2"/>
        <v>2</v>
      </c>
      <c r="G28" s="7">
        <v>2.0</v>
      </c>
      <c r="H28" s="6" t="b">
        <v>1</v>
      </c>
      <c r="I28" s="5">
        <v>1.0</v>
      </c>
      <c r="J28" s="5" t="s">
        <v>25</v>
      </c>
      <c r="K28" s="12">
        <v>70.0</v>
      </c>
      <c r="L28" s="5">
        <f t="shared" si="3"/>
        <v>35</v>
      </c>
      <c r="M28" s="5">
        <f t="shared" si="4"/>
        <v>25</v>
      </c>
      <c r="N28" s="12">
        <v>18.0</v>
      </c>
      <c r="O28" s="9">
        <f t="shared" si="5"/>
        <v>1.6</v>
      </c>
      <c r="P28" s="10">
        <v>20.0</v>
      </c>
      <c r="Q28" s="10">
        <v>30.0</v>
      </c>
      <c r="R28" s="11"/>
    </row>
    <row r="29" ht="22.5" customHeight="1">
      <c r="A29" s="5" t="s">
        <v>54</v>
      </c>
      <c r="B29" s="5" t="str">
        <f t="shared" si="1"/>
        <v>ginger</v>
      </c>
      <c r="C29" s="6" t="s">
        <v>48</v>
      </c>
      <c r="D29" s="7">
        <v>10.0</v>
      </c>
      <c r="E29" s="7"/>
      <c r="F29" s="7">
        <f t="shared" si="2"/>
        <v>2</v>
      </c>
      <c r="G29" s="7">
        <v>2.0</v>
      </c>
      <c r="H29" s="6" t="b">
        <v>1</v>
      </c>
      <c r="I29" s="5">
        <v>1.0</v>
      </c>
      <c r="J29" s="5" t="s">
        <v>19</v>
      </c>
      <c r="K29" s="8">
        <v>100.0</v>
      </c>
      <c r="L29" s="5">
        <f t="shared" si="3"/>
        <v>50</v>
      </c>
      <c r="M29" s="5">
        <f t="shared" si="4"/>
        <v>55</v>
      </c>
      <c r="N29" s="8">
        <v>42.0</v>
      </c>
      <c r="O29" s="9">
        <f t="shared" si="5"/>
        <v>1.5</v>
      </c>
      <c r="P29" s="10">
        <v>20.0</v>
      </c>
      <c r="Q29" s="10">
        <v>30.0</v>
      </c>
      <c r="R29" s="11"/>
    </row>
    <row r="30" ht="22.5" customHeight="1">
      <c r="A30" s="5" t="s">
        <v>55</v>
      </c>
      <c r="B30" s="5" t="str">
        <f t="shared" si="1"/>
        <v>lavender</v>
      </c>
      <c r="C30" s="6" t="s">
        <v>48</v>
      </c>
      <c r="D30" s="7">
        <v>8.0</v>
      </c>
      <c r="E30" s="7"/>
      <c r="F30" s="7">
        <f t="shared" si="2"/>
        <v>2</v>
      </c>
      <c r="G30" s="7">
        <v>2.0</v>
      </c>
      <c r="H30" s="6" t="b">
        <v>1</v>
      </c>
      <c r="I30" s="5">
        <v>1.0</v>
      </c>
      <c r="J30" s="5" t="s">
        <v>31</v>
      </c>
      <c r="K30" s="12">
        <v>80.0</v>
      </c>
      <c r="L30" s="5">
        <f t="shared" si="3"/>
        <v>40</v>
      </c>
      <c r="M30" s="5">
        <f t="shared" si="4"/>
        <v>40</v>
      </c>
      <c r="N30" s="12">
        <v>30.0</v>
      </c>
      <c r="O30" s="9">
        <f t="shared" si="5"/>
        <v>1.3</v>
      </c>
      <c r="P30" s="10">
        <v>20.0</v>
      </c>
      <c r="Q30" s="10">
        <v>30.0</v>
      </c>
      <c r="R30" s="11"/>
    </row>
    <row r="31" ht="22.5" customHeight="1">
      <c r="A31" s="5" t="s">
        <v>56</v>
      </c>
      <c r="B31" s="5" t="str">
        <f t="shared" si="1"/>
        <v>mint</v>
      </c>
      <c r="C31" s="6" t="s">
        <v>48</v>
      </c>
      <c r="D31" s="7">
        <v>4.0</v>
      </c>
      <c r="E31" s="7"/>
      <c r="F31" s="7">
        <f t="shared" si="2"/>
        <v>4</v>
      </c>
      <c r="G31" s="7">
        <v>4.0</v>
      </c>
      <c r="H31" s="6" t="b">
        <v>1</v>
      </c>
      <c r="I31" s="5">
        <v>1.0</v>
      </c>
      <c r="J31" s="5" t="s">
        <v>31</v>
      </c>
      <c r="K31" s="12">
        <v>150.0</v>
      </c>
      <c r="L31" s="5">
        <f t="shared" si="3"/>
        <v>75</v>
      </c>
      <c r="M31" s="5">
        <f t="shared" si="4"/>
        <v>20</v>
      </c>
      <c r="N31" s="12">
        <v>16.0</v>
      </c>
      <c r="O31" s="9">
        <f t="shared" si="5"/>
        <v>2</v>
      </c>
      <c r="P31" s="10">
        <v>20.0</v>
      </c>
      <c r="Q31" s="10">
        <v>30.0</v>
      </c>
      <c r="R31" s="11"/>
    </row>
    <row r="32" ht="22.5" customHeight="1">
      <c r="A32" s="5" t="s">
        <v>57</v>
      </c>
      <c r="B32" s="5" t="str">
        <f t="shared" si="1"/>
        <v>rosemary</v>
      </c>
      <c r="C32" s="6" t="s">
        <v>48</v>
      </c>
      <c r="D32" s="7">
        <v>9.0</v>
      </c>
      <c r="E32" s="7"/>
      <c r="F32" s="7">
        <f t="shared" si="2"/>
        <v>2</v>
      </c>
      <c r="G32" s="7">
        <v>2.0</v>
      </c>
      <c r="H32" s="6" t="b">
        <v>1</v>
      </c>
      <c r="I32" s="5">
        <v>1.0</v>
      </c>
      <c r="J32" s="5" t="s">
        <v>52</v>
      </c>
      <c r="K32" s="12">
        <v>60.0</v>
      </c>
      <c r="L32" s="5">
        <f t="shared" si="3"/>
        <v>30</v>
      </c>
      <c r="M32" s="5">
        <f t="shared" si="4"/>
        <v>30</v>
      </c>
      <c r="N32" s="12">
        <v>24.0</v>
      </c>
      <c r="O32" s="9">
        <f t="shared" si="5"/>
        <v>1.4</v>
      </c>
      <c r="P32" s="10">
        <v>20.0</v>
      </c>
      <c r="Q32" s="10">
        <v>30.0</v>
      </c>
      <c r="R32" s="11"/>
    </row>
    <row r="33" ht="22.5" customHeight="1">
      <c r="A33" s="5" t="s">
        <v>58</v>
      </c>
      <c r="B33" s="5" t="str">
        <f t="shared" si="1"/>
        <v>sage</v>
      </c>
      <c r="C33" s="6" t="s">
        <v>48</v>
      </c>
      <c r="D33" s="7">
        <v>8.0</v>
      </c>
      <c r="E33" s="7"/>
      <c r="F33" s="7">
        <f t="shared" si="2"/>
        <v>2</v>
      </c>
      <c r="G33" s="7">
        <v>2.0</v>
      </c>
      <c r="H33" s="6" t="b">
        <v>1</v>
      </c>
      <c r="I33" s="5">
        <v>1.0</v>
      </c>
      <c r="J33" s="5" t="s">
        <v>19</v>
      </c>
      <c r="K33" s="8">
        <v>65.0</v>
      </c>
      <c r="L33" s="5">
        <f t="shared" si="3"/>
        <v>35</v>
      </c>
      <c r="M33" s="5">
        <f t="shared" si="4"/>
        <v>35</v>
      </c>
      <c r="N33" s="8">
        <v>26.0</v>
      </c>
      <c r="O33" s="9">
        <f t="shared" si="5"/>
        <v>1.4</v>
      </c>
      <c r="P33" s="10">
        <v>20.0</v>
      </c>
      <c r="Q33" s="10">
        <v>30.0</v>
      </c>
      <c r="R33" s="11"/>
    </row>
    <row r="34" ht="22.5" customHeight="1">
      <c r="A34" s="5" t="s">
        <v>59</v>
      </c>
      <c r="B34" s="5" t="str">
        <f t="shared" si="1"/>
        <v>apple</v>
      </c>
      <c r="C34" s="6" t="s">
        <v>60</v>
      </c>
      <c r="D34" s="7">
        <v>12.0</v>
      </c>
      <c r="E34" s="7"/>
      <c r="F34" s="7">
        <f t="shared" si="2"/>
        <v>3</v>
      </c>
      <c r="G34" s="7">
        <v>3.0</v>
      </c>
      <c r="H34" s="6" t="b">
        <v>1</v>
      </c>
      <c r="I34" s="5">
        <v>1.0</v>
      </c>
      <c r="J34" s="5" t="s">
        <v>31</v>
      </c>
      <c r="K34" s="8">
        <v>400.0</v>
      </c>
      <c r="L34" s="5">
        <f t="shared" si="3"/>
        <v>200</v>
      </c>
      <c r="M34" s="5">
        <f t="shared" si="4"/>
        <v>50</v>
      </c>
      <c r="N34" s="13">
        <v>38.0</v>
      </c>
      <c r="O34" s="9">
        <f t="shared" si="5"/>
        <v>-0.4</v>
      </c>
      <c r="P34" s="10">
        <v>20.0</v>
      </c>
      <c r="Q34" s="10">
        <v>30.0</v>
      </c>
      <c r="R34" s="11"/>
    </row>
    <row r="35" ht="22.5" customHeight="1">
      <c r="A35" s="5" t="s">
        <v>61</v>
      </c>
      <c r="B35" s="5" t="str">
        <f t="shared" si="1"/>
        <v>cocoa</v>
      </c>
      <c r="C35" s="6" t="s">
        <v>60</v>
      </c>
      <c r="D35" s="7">
        <v>12.0</v>
      </c>
      <c r="E35" s="7"/>
      <c r="F35" s="7">
        <f t="shared" si="2"/>
        <v>2</v>
      </c>
      <c r="G35" s="7">
        <v>2.0</v>
      </c>
      <c r="H35" s="6" t="b">
        <v>1</v>
      </c>
      <c r="I35" s="5">
        <v>1.0</v>
      </c>
      <c r="J35" s="5" t="s">
        <v>31</v>
      </c>
      <c r="K35" s="12">
        <v>800.0</v>
      </c>
      <c r="L35" s="5">
        <f t="shared" si="3"/>
        <v>400</v>
      </c>
      <c r="M35" s="5">
        <f t="shared" si="4"/>
        <v>75</v>
      </c>
      <c r="N35" s="12">
        <v>58.0</v>
      </c>
      <c r="O35" s="9">
        <f t="shared" si="5"/>
        <v>-0.7</v>
      </c>
      <c r="P35" s="10">
        <v>20.0</v>
      </c>
      <c r="Q35" s="10">
        <v>30.0</v>
      </c>
      <c r="R35" s="11"/>
    </row>
    <row r="36" ht="22.5" customHeight="1">
      <c r="A36" s="5" t="s">
        <v>62</v>
      </c>
      <c r="B36" s="5" t="str">
        <f t="shared" si="1"/>
        <v>lemon</v>
      </c>
      <c r="C36" s="6" t="s">
        <v>60</v>
      </c>
      <c r="D36" s="7">
        <v>9.0</v>
      </c>
      <c r="E36" s="7"/>
      <c r="F36" s="7">
        <f t="shared" si="2"/>
        <v>3</v>
      </c>
      <c r="G36" s="7">
        <v>3.0</v>
      </c>
      <c r="H36" s="6" t="b">
        <v>1</v>
      </c>
      <c r="I36" s="5">
        <v>1.0</v>
      </c>
      <c r="J36" s="5" t="s">
        <v>31</v>
      </c>
      <c r="K36" s="8">
        <v>500.0</v>
      </c>
      <c r="L36" s="5">
        <f t="shared" si="3"/>
        <v>250</v>
      </c>
      <c r="M36" s="5">
        <f t="shared" si="4"/>
        <v>50</v>
      </c>
      <c r="N36" s="8">
        <v>36.0</v>
      </c>
      <c r="O36" s="9">
        <f t="shared" si="5"/>
        <v>-0.4</v>
      </c>
      <c r="P36" s="10">
        <v>20.0</v>
      </c>
      <c r="Q36" s="10">
        <v>30.0</v>
      </c>
      <c r="R36" s="11"/>
    </row>
    <row r="37" ht="22.5" customHeight="1">
      <c r="A37" s="5" t="s">
        <v>63</v>
      </c>
      <c r="B37" s="5" t="str">
        <f t="shared" si="1"/>
        <v>olive</v>
      </c>
      <c r="C37" s="6" t="s">
        <v>60</v>
      </c>
      <c r="D37" s="7">
        <v>13.0</v>
      </c>
      <c r="E37" s="7"/>
      <c r="F37" s="7">
        <f t="shared" si="2"/>
        <v>4</v>
      </c>
      <c r="G37" s="7">
        <v>4.0</v>
      </c>
      <c r="H37" s="6" t="b">
        <v>1</v>
      </c>
      <c r="I37" s="5">
        <v>1.0</v>
      </c>
      <c r="J37" s="5" t="s">
        <v>31</v>
      </c>
      <c r="K37" s="8">
        <v>800.0</v>
      </c>
      <c r="L37" s="5">
        <f t="shared" si="3"/>
        <v>400</v>
      </c>
      <c r="M37" s="5">
        <f t="shared" si="4"/>
        <v>65</v>
      </c>
      <c r="N37" s="8">
        <v>48.0</v>
      </c>
      <c r="O37" s="9">
        <f t="shared" si="5"/>
        <v>-0.5</v>
      </c>
      <c r="P37" s="10">
        <v>20.0</v>
      </c>
      <c r="Q37" s="10">
        <v>30.0</v>
      </c>
      <c r="R37" s="11"/>
    </row>
    <row r="38" ht="22.5" customHeight="1">
      <c r="A38" s="5" t="s">
        <v>64</v>
      </c>
      <c r="B38" s="5" t="str">
        <f t="shared" si="1"/>
        <v>orange</v>
      </c>
      <c r="C38" s="6" t="s">
        <v>60</v>
      </c>
      <c r="D38" s="7">
        <v>11.0</v>
      </c>
      <c r="E38" s="7"/>
      <c r="F38" s="7">
        <f t="shared" si="2"/>
        <v>3</v>
      </c>
      <c r="G38" s="7">
        <v>3.0</v>
      </c>
      <c r="H38" s="6" t="b">
        <v>1</v>
      </c>
      <c r="I38" s="5">
        <v>1.0</v>
      </c>
      <c r="J38" s="5" t="s">
        <v>31</v>
      </c>
      <c r="K38" s="8">
        <v>500.0</v>
      </c>
      <c r="L38" s="5">
        <f t="shared" si="3"/>
        <v>250</v>
      </c>
      <c r="M38" s="5">
        <f t="shared" si="4"/>
        <v>55</v>
      </c>
      <c r="N38" s="8">
        <v>42.0</v>
      </c>
      <c r="O38" s="9">
        <f t="shared" si="5"/>
        <v>-0.5</v>
      </c>
      <c r="P38" s="10">
        <v>20.0</v>
      </c>
      <c r="Q38" s="10">
        <v>30.0</v>
      </c>
      <c r="R38" s="11"/>
    </row>
    <row r="39" ht="22.5" customHeight="1">
      <c r="A39" s="5" t="s">
        <v>65</v>
      </c>
      <c r="B39" s="5" t="str">
        <f t="shared" si="1"/>
        <v>peach</v>
      </c>
      <c r="C39" s="6" t="s">
        <v>60</v>
      </c>
      <c r="D39" s="7">
        <v>10.0</v>
      </c>
      <c r="E39" s="7"/>
      <c r="F39" s="7">
        <f t="shared" si="2"/>
        <v>2</v>
      </c>
      <c r="G39" s="7">
        <v>2.0</v>
      </c>
      <c r="H39" s="6" t="b">
        <v>1</v>
      </c>
      <c r="I39" s="5">
        <v>1.0</v>
      </c>
      <c r="J39" s="5" t="s">
        <v>31</v>
      </c>
      <c r="K39" s="12">
        <v>600.0</v>
      </c>
      <c r="L39" s="5">
        <f t="shared" si="3"/>
        <v>300</v>
      </c>
      <c r="M39" s="5">
        <f t="shared" si="4"/>
        <v>60</v>
      </c>
      <c r="N39" s="12">
        <v>44.0</v>
      </c>
      <c r="O39" s="9">
        <f t="shared" si="5"/>
        <v>-0.6</v>
      </c>
      <c r="P39" s="10">
        <v>20.0</v>
      </c>
      <c r="Q39" s="10">
        <v>30.0</v>
      </c>
      <c r="R39" s="11"/>
    </row>
    <row r="40" ht="22.5" customHeight="1">
      <c r="A40" s="5" t="s">
        <v>66</v>
      </c>
      <c r="B40" s="5" t="str">
        <f t="shared" si="1"/>
        <v>birch</v>
      </c>
      <c r="C40" s="6" t="s">
        <v>67</v>
      </c>
      <c r="D40" s="7">
        <v>5.0</v>
      </c>
      <c r="E40" s="7"/>
      <c r="F40" s="7">
        <f t="shared" si="2"/>
        <v>1</v>
      </c>
      <c r="G40" s="7">
        <v>1.0</v>
      </c>
      <c r="H40" s="6" t="b">
        <v>1</v>
      </c>
      <c r="I40" s="5">
        <v>1.0</v>
      </c>
      <c r="J40" s="5" t="s">
        <v>52</v>
      </c>
      <c r="K40" s="12">
        <v>400.0</v>
      </c>
      <c r="L40" s="5">
        <f t="shared" si="3"/>
        <v>200</v>
      </c>
      <c r="M40" s="5">
        <f t="shared" si="4"/>
        <v>95</v>
      </c>
      <c r="N40" s="12">
        <v>70.0</v>
      </c>
      <c r="O40" s="9">
        <f t="shared" si="5"/>
        <v>0.1</v>
      </c>
      <c r="P40" s="10">
        <v>20.0</v>
      </c>
      <c r="Q40" s="10">
        <v>30.0</v>
      </c>
      <c r="R40" s="11"/>
    </row>
    <row r="41" ht="22.5" customHeight="1">
      <c r="A41" s="5" t="s">
        <v>68</v>
      </c>
      <c r="B41" s="5" t="str">
        <f t="shared" si="1"/>
        <v>cherry</v>
      </c>
      <c r="C41" s="6" t="s">
        <v>67</v>
      </c>
      <c r="D41" s="7">
        <v>6.0</v>
      </c>
      <c r="E41" s="7"/>
      <c r="F41" s="7">
        <f t="shared" si="2"/>
        <v>1</v>
      </c>
      <c r="G41" s="7">
        <v>1.0</v>
      </c>
      <c r="H41" s="6" t="b">
        <v>1</v>
      </c>
      <c r="I41" s="5">
        <v>1.0</v>
      </c>
      <c r="J41" s="5" t="s">
        <v>25</v>
      </c>
      <c r="K41" s="12">
        <v>600.0</v>
      </c>
      <c r="L41" s="5">
        <f t="shared" si="3"/>
        <v>300</v>
      </c>
      <c r="M41" s="5">
        <f t="shared" si="4"/>
        <v>125</v>
      </c>
      <c r="N41" s="12">
        <v>95.0</v>
      </c>
      <c r="O41" s="9">
        <f t="shared" si="5"/>
        <v>-0.2</v>
      </c>
      <c r="P41" s="10">
        <v>20.0</v>
      </c>
      <c r="Q41" s="10">
        <v>30.0</v>
      </c>
      <c r="R41" s="11"/>
    </row>
    <row r="42" ht="22.5" customHeight="1">
      <c r="A42" s="5" t="s">
        <v>69</v>
      </c>
      <c r="B42" s="5" t="str">
        <f t="shared" si="1"/>
        <v>maple</v>
      </c>
      <c r="C42" s="6" t="s">
        <v>67</v>
      </c>
      <c r="D42" s="7">
        <v>7.0</v>
      </c>
      <c r="E42" s="7"/>
      <c r="F42" s="7">
        <f t="shared" si="2"/>
        <v>1</v>
      </c>
      <c r="G42" s="7">
        <v>1.0</v>
      </c>
      <c r="H42" s="6" t="b">
        <v>1</v>
      </c>
      <c r="I42" s="5">
        <v>1.0</v>
      </c>
      <c r="J42" s="5" t="s">
        <v>31</v>
      </c>
      <c r="K42" s="12">
        <v>500.0</v>
      </c>
      <c r="L42" s="5">
        <f t="shared" si="3"/>
        <v>250</v>
      </c>
      <c r="M42" s="5">
        <f t="shared" si="4"/>
        <v>145</v>
      </c>
      <c r="N42" s="12">
        <v>110.0</v>
      </c>
      <c r="O42" s="9">
        <f t="shared" si="5"/>
        <v>-0.1</v>
      </c>
      <c r="P42" s="10">
        <v>20.0</v>
      </c>
      <c r="Q42" s="10">
        <v>30.0</v>
      </c>
      <c r="R42" s="11"/>
    </row>
    <row r="43" ht="22.5" customHeight="1">
      <c r="A43" s="5" t="s">
        <v>70</v>
      </c>
      <c r="B43" s="5" t="str">
        <f t="shared" si="1"/>
        <v>oak</v>
      </c>
      <c r="C43" s="6" t="s">
        <v>67</v>
      </c>
      <c r="D43" s="7">
        <v>8.0</v>
      </c>
      <c r="E43" s="7"/>
      <c r="F43" s="7">
        <f t="shared" si="2"/>
        <v>1</v>
      </c>
      <c r="G43" s="7">
        <v>1.0</v>
      </c>
      <c r="H43" s="6" t="b">
        <v>1</v>
      </c>
      <c r="I43" s="5">
        <v>1.0</v>
      </c>
      <c r="J43" s="5" t="s">
        <v>31</v>
      </c>
      <c r="K43" s="8">
        <v>400.0</v>
      </c>
      <c r="L43" s="5">
        <f t="shared" si="3"/>
        <v>200</v>
      </c>
      <c r="M43" s="5">
        <f t="shared" si="4"/>
        <v>115</v>
      </c>
      <c r="N43" s="8">
        <v>85.0</v>
      </c>
      <c r="O43" s="9">
        <f t="shared" si="5"/>
        <v>-0.4</v>
      </c>
      <c r="P43" s="10">
        <v>20.0</v>
      </c>
      <c r="Q43" s="10">
        <v>30.0</v>
      </c>
      <c r="R43" s="11"/>
    </row>
    <row r="44" ht="22.5" customHeight="1">
      <c r="A44" s="5" t="s">
        <v>71</v>
      </c>
      <c r="B44" s="5" t="str">
        <f t="shared" si="1"/>
        <v>pine</v>
      </c>
      <c r="C44" s="6" t="s">
        <v>67</v>
      </c>
      <c r="D44" s="7">
        <v>6.0</v>
      </c>
      <c r="E44" s="7"/>
      <c r="F44" s="7">
        <f t="shared" si="2"/>
        <v>1</v>
      </c>
      <c r="G44" s="7">
        <v>1.0</v>
      </c>
      <c r="H44" s="6" t="b">
        <v>1</v>
      </c>
      <c r="I44" s="5">
        <v>1.0</v>
      </c>
      <c r="J44" s="5" t="s">
        <v>52</v>
      </c>
      <c r="K44" s="8">
        <v>400.0</v>
      </c>
      <c r="L44" s="5">
        <f t="shared" si="3"/>
        <v>200</v>
      </c>
      <c r="M44" s="5">
        <f t="shared" si="4"/>
        <v>105</v>
      </c>
      <c r="N44" s="8">
        <v>80.0</v>
      </c>
      <c r="O44" s="9">
        <f t="shared" si="5"/>
        <v>0</v>
      </c>
      <c r="P44" s="10">
        <v>20.0</v>
      </c>
      <c r="Q44" s="10">
        <v>30.0</v>
      </c>
      <c r="R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1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1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1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1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1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1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1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1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1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1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1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1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1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1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1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1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1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1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1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1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1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1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1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1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1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1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1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1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1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1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1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1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1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1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1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1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1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1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1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1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1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1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1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1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1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1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1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1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1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1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1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1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1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1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1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1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1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1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1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1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1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1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1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1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1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1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1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1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1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1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1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1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1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1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1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1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1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1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1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1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1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1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1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1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1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1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1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1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1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1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1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1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1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1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1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1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1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1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1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1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1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1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1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1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1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1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1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1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1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1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1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1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1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1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1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1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1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1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1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1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1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1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1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1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1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1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1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1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1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1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1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1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1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1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1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1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1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1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1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1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1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1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1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1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1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1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1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1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1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1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1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1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1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1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1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1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1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1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1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1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1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1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1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1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1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1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1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1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1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1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1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1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1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1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1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1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1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1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1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1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1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1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1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1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1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1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1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1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1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1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1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1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1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1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1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1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1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1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1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1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1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1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1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1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1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1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1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1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1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1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1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1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1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1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1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1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1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1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1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1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1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1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1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1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1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1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1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1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1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1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1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1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1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1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1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1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1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1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1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1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1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1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1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1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1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1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1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1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1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1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1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1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1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1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1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1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1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1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1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1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1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1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1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1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1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1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1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1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1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1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1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1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1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1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1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1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1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1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1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1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1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1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1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1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1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1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1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1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1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1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1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1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1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1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1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1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1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1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1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1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1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1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1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1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1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1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1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1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1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1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1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1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1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1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1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1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1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1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1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1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1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1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1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1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1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1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1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1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1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1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1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1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1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1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1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1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1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1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1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1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1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1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1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1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1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1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1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1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1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1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1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1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1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1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1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1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1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1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1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1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1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1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1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1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1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1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1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1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1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1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1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1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1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1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1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1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1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1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1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1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1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1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1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1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1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1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1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1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1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1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1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1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1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1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1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1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1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1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1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1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1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1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1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1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1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1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1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1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1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1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1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1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1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1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1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1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1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1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1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1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1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1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1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1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1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1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1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1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1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1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1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1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1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1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1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1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1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1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1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1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1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1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1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1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1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1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1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1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1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1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1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1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1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1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1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1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1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1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1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1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1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1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1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1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1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1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1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1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1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1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1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1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1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1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1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1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1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1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1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1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1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1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1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1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1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1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1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1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1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1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1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1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1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1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1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1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1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1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1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1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1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1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1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1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1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1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1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1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1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1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1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1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1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1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1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1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1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1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1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1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1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1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1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1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1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1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1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1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1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1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1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1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1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1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1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1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1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1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1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1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1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1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1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1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1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1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1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1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1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1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1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1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1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1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1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1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1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1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1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1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1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1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1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1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1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1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1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1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1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1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1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1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1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1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1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1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1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1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1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1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1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1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1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1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1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1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1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1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1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1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1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1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1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1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1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1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1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1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1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1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1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1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1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1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1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1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1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1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1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1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1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1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1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1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1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1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1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1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1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1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1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1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1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1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1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1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1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1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1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1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1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1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1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1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1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1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1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1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1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1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1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1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1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1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1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1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1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1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1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1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1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1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1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1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1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1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1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1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1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1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1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1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1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1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1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1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1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1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1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1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1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1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1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1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1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1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1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1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1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1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1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1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1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1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1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1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1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1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1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1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1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1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1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1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1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1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1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1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1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1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1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1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1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1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1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1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1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1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1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1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1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1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1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1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1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1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1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1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1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1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1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1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1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1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1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1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1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1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1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1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1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1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1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1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1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1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1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1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1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1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1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1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1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1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1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1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1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1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1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1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1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1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1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1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1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1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1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1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1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1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1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1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1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1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1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1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1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1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1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1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1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1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1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1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1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1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1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1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1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1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1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1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1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1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1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1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1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1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1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1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1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1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1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1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1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1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1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1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1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1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1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1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1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1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1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1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1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1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1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1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1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1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1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1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1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1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1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1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1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1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1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1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1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1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1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1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1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1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1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1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1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1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1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1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1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1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1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1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1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1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1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1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1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1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1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1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1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1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1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1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1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1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1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1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1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1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1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1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1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1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1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1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1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1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1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1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1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1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1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1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1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1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1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1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1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1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1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1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1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1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1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1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1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1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1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1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1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1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1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1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1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1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1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1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1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1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1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1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1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1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1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1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1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1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1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1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1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1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1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1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1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1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1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1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1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1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1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1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1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1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1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1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1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1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1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1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1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1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1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1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1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1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1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1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1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1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1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1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1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1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1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1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1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1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1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1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1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1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1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1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1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1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6"/>
    </row>
  </sheetData>
  <dataValidations>
    <dataValidation type="list" allowBlank="1" sqref="J2:J44">
      <formula1>"spring,summer,fall,winter"</formula1>
    </dataValidation>
    <dataValidation type="list" allowBlank="1" sqref="C2:C44">
      <formula1>"crop,crop_trellis,garden_bed,tree_tapping,tree_fruit,flower"</formula1>
    </dataValidation>
    <dataValidation type="list" allowBlank="1" sqref="H2:H44">
      <formula1>"FALSE,TRUE"</formula1>
    </dataValidation>
    <dataValidation type="custom" allowBlank="1" showDropDown="1" sqref="D2:D44 G2:G44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